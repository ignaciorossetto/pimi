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lujo Hosting" sheetId="1" state="visible" r:id="rId3"/>
    <sheet name="Apps Moviles" sheetId="2" state="visible" r:id="rId4"/>
    <sheet name="Resumen Tota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Pimi</author>
  </authors>
  <commentList>
    <comment ref="A6" authorId="0">
      <text>
        <r>
          <rPr>
            <sz val="10"/>
            <rFont val="Arial"/>
            <family val="2"/>
          </rPr>
          <t xml:space="preserve">Vercel Pro obligatorio (Hobby prohibe uso comercial). Supabase Free cubre de sobra: 50k MAU, 500MB DB, 5GB egress.</t>
        </r>
      </text>
    </comment>
    <comment ref="A7" authorId="0">
      <text>
        <r>
          <rPr>
            <sz val="10"/>
            <rFont val="Arial"/>
            <family val="2"/>
          </rPr>
          <t xml:space="preserve">Supabase Pro recomendado en produccion real: sin pausa de proyecto, backups diarios, mas limites. Compute Micro ya incluido en el fee de $25 via credito de $10.</t>
        </r>
      </text>
    </comment>
    <comment ref="A8" authorId="0">
      <text>
        <r>
          <rPr>
            <sz val="10"/>
            <rFont val="Arial"/>
            <family val="2"/>
          </rPr>
          <t xml:space="preserve">Vercel: overage estimado por mas function invocations / data transfer. Supabase: compute Small ($15) por mas conexiones + posible overage leve de MAU/egress.</t>
        </r>
      </text>
    </comment>
    <comment ref="A9" authorId="0">
      <text>
        <r>
          <rPr>
            <sz val="10"/>
            <rFont val="Arial"/>
            <family val="2"/>
          </rPr>
          <t xml:space="preserve">Vercel: overage estimado por alto volumen de requests/funciones. Supabase: compute Medium ($60) + overage MAU (&gt;100k a $0.00325 c/u) y egress (&gt;250GB a $0.09/GB). A este nivel conviene revisar Enterprise en ambos.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Pimi</author>
  </authors>
  <commentList>
    <comment ref="A6" authorId="0">
      <text>
        <r>
          <rPr>
            <sz val="10"/>
            <rFont val="Arial"/>
            <family val="2"/>
          </rPr>
          <t xml:space="preserve">Apple Developer Program se paga entero ($99) pero se prorratea a 12 meses para el flujo de fondos. Google Play es pago unico de por vida ($25), prorrateado solo en el primer anio. EAS Build y Sentry alcanzan de sobra con el tier gratuito (15 builds/mes cada plataforma, 5.000 errores/mes).</t>
        </r>
      </text>
    </comment>
    <comment ref="A7" authorId="0">
      <text>
        <r>
          <rPr>
            <sz val="10"/>
            <rFont val="Arial"/>
            <family val="2"/>
          </rPr>
          <t xml:space="preserve">Google Play ya esta pagado (no se repite). Con trafico moderado el tier gratuito de EAS Build y Sentry todavia alcanza.</t>
        </r>
      </text>
    </comment>
    <comment ref="A8" authorId="0">
      <text>
        <r>
          <rPr>
            <sz val="10"/>
            <rFont val="Arial"/>
            <family val="2"/>
          </rPr>
          <t xml:space="preserve">Mas actualizaciones/hotfixes probablemente superan las 15 builds/mes gratis de EAS -&gt; plan Starter $19/mes. Mas usuarios activos generan mas eventos de error -&gt; Sentry Team $26/mes (50k errores). Firebase Cloud Messaging sigue gratis a cualquier volumen.</t>
        </r>
      </text>
    </comment>
    <comment ref="A9" authorId="0">
      <text>
        <r>
          <rPr>
            <sz val="10"/>
            <rFont val="Arial"/>
            <family val="2"/>
          </rPr>
          <t xml:space="preserve">Con builds frecuentes y mas MAU en EAS Update conviene el plan Production de EAS ($199/mes, incluye credito de build). Sentry Business ($80/mes) para el volumen de errores esperado. Firebase Cloud Messaging sigue gratis.</t>
        </r>
      </text>
    </comment>
  </commentList>
</comments>
</file>

<file path=xl/sharedStrings.xml><?xml version="1.0" encoding="utf-8"?>
<sst xmlns="http://schemas.openxmlformats.org/spreadsheetml/2006/main" count="60" uniqueCount="47">
  <si>
    <t xml:space="preserve">Pimi — Flujo de fondos de hosting (Vercel + Supabase)</t>
  </si>
  <si>
    <t xml:space="preserve">Estimacion por etapa de crecimiento. Actualizar celdas azules a medida que cambien precios o supuestos.</t>
  </si>
  <si>
    <t xml:space="preserve">Fecha de referencia de precios: 19/07/2026 (Vercel y Supabase, sitios oficiales)</t>
  </si>
  <si>
    <t xml:space="preserve">Etapa</t>
  </si>
  <si>
    <t xml:space="preserve">Usuarios activos (MAU) — estimado</t>
  </si>
  <si>
    <t xml:space="preserve">Vercel: plan base</t>
  </si>
  <si>
    <t xml:space="preserve">Vercel: overage estimado</t>
  </si>
  <si>
    <t xml:space="preserve">Supabase: plan base</t>
  </si>
  <si>
    <t xml:space="preserve">Supabase: compute add-on</t>
  </si>
  <si>
    <t xml:space="preserve">Supabase: overage estimado</t>
  </si>
  <si>
    <t xml:space="preserve">Dominio (prorrateo mensual)</t>
  </si>
  <si>
    <t xml:space="preserve">Total mensual (USD)</t>
  </si>
  <si>
    <t xml:space="preserve">Total anual (USD)</t>
  </si>
  <si>
    <t xml:space="preserve">Etapa 0 — Lanzamiento / beta cerrada</t>
  </si>
  <si>
    <t xml:space="preserve">Etapa 1 — Traccion inicial</t>
  </si>
  <si>
    <t xml:space="preserve">Etapa 2 — Buen crecimiento</t>
  </si>
  <si>
    <t xml:space="preserve">Etapa 3 — Escala / mucho trafico</t>
  </si>
  <si>
    <t xml:space="preserve">Supuestos y fuentes</t>
  </si>
  <si>
    <t xml:space="preserve">- Vercel Hobby (gratis) prohibe uso comercial en sus terminos -&gt; Pimi necesita Pro ($20/mes por asiento) desde el lanzamiento.</t>
  </si>
  <si>
    <t xml:space="preserve">- Vercel Pro incluye $20 de credito de uso mensual; el overage solo aplica si el consumo real supera ese credito (fuente: vercel.com/pricing).</t>
  </si>
  <si>
    <t xml:space="preserve">- Supabase Free: 50.000 MAU, 500MB DB, 5GB egress, 1GB storage — pero el proyecto se pausa tras 7 dias de inactividad y no tiene backups. Sirve para Etapa 0 pero conviene pasar a Pro antes de tener usuarios reales pagando.</t>
  </si>
  <si>
    <t xml:space="preserve">- Supabase Pro: $25/mes (incluye credito de computo de $10, cubre instancia Micro), 100k MAU, 8GB DB, 250GB egress, backups diarios 7 dias (fuente: supabase.com/pricing).</t>
  </si>
  <si>
    <t xml:space="preserve">- Las columnas de 'overage estimado' en Etapas 2 y 3 son proyecciones aproximadas, no cotizaciones — el costo real depende del trafico, tamano de imagenes/paginas y uso de funciones server-side (middleware de Supabase SSR se ejecuta en cada request).</t>
  </si>
  <si>
    <t xml:space="preserve">- Dominio: prorrateo mensual aproximado de un dominio .com/.app (~$12-15/anio) — ajustar segun el TLD elegido.</t>
  </si>
  <si>
    <t xml:space="preserve">- No incluye: Mercado Pago (comisiones por transaccion, no es costo fijo), servicio de email transaccional si se agrega uno dedicado, ni herramientas de monitoreo/analytics de pago.</t>
  </si>
  <si>
    <t xml:space="preserve">Pimi — Costo de mantener las apps de iOS y Android</t>
  </si>
  <si>
    <t xml:space="preserve">Supuesto: apps construidas con Expo/React Native (reusa la logica del web), no nativas separadas. Si se desarrolla 100% nativo (Swift/Kotlin) estos costos de tooling son similares, pero el tiempo de desarrollo/mantenimiento humano (no incluido aca) es mucho mayor.</t>
  </si>
  <si>
    <t xml:space="preserve">Fecha de referencia de precios: 21/07/2026 (Apple, Google, Expo/EAS y Sentry, sitios oficiales)</t>
  </si>
  <si>
    <t xml:space="preserve">Apple Developer Program
(prorrateo mensual)</t>
  </si>
  <si>
    <t xml:space="preserve">Google Play Console
(prorrateo mensual)</t>
  </si>
  <si>
    <t xml:space="preserve">EAS Build / CI
(compilacion iOS+Android)</t>
  </si>
  <si>
    <t xml:space="preserve">Monitoreo de errores
(Sentry)</t>
  </si>
  <si>
    <t xml:space="preserve">Push notifications
(Firebase FCM)</t>
  </si>
  <si>
    <t xml:space="preserve">- Apple Developer Program: $99/anio, obligatorio para publicar y mantener la app en el App Store (fuente: developer.apple.com).</t>
  </si>
  <si>
    <t xml:space="preserve">- Google Play Console: $25 pago unico de por vida, no se renueva (fuente: play.google.com/console/about).</t>
  </si>
  <si>
    <t xml:space="preserve">- EAS Build (Expo): Free = 15 builds Android + 15 iOS por mes; Starter $19/mes ($45 credito de build); Production $199/mes ($225 credito) (fuente: expo.dev/pricing).</t>
  </si>
  <si>
    <t xml:space="preserve">- Sentry: Free = 5.000 errores/mes; Team $26/mes (50.000 errores); Business $80/mes (fuente: sentry.io/pricing).</t>
  </si>
  <si>
    <t xml:space="preserve">- Firebase Cloud Messaging (push notifications): gratis sin limite practico para este volumen de usuarios.</t>
  </si>
  <si>
    <t xml:space="preserve">- No incluye: tiempo de desarrollo/mantenimiento humano, diseno, ni el costo de una Mac si se compila localmente en vez de usar EAS Build en la nube (con EAS no hace falta tener Mac propia).</t>
  </si>
  <si>
    <t xml:space="preserve">- Si en cambio se elige no publicar apps nativas y quedarse con PWA (web instalable), este bloque completo se reduce a $0 -- opcion valida para el MVP inicial.</t>
  </si>
  <si>
    <t xml:space="preserve">Pimi — Resumen consolidado: Hosting + Apps moviles</t>
  </si>
  <si>
    <t xml:space="preserve">Suma de la pestana 'Flujo Hosting' + 'Apps Moviles' por etapa. Los valores se recalculan solos si cambian las otras pestanas.</t>
  </si>
  <si>
    <t xml:space="preserve">Total Hosting (mensual)</t>
  </si>
  <si>
    <t xml:space="preserve">Total Apps Moviles (mensual)</t>
  </si>
  <si>
    <t xml:space="preserve">Total consolidado (mensual)</t>
  </si>
  <si>
    <t xml:space="preserve">Total consolidado (anual)</t>
  </si>
  <si>
    <t xml:space="preserve">Nota: no incluye comision de Mercado Pago (variable por transaccion) ni tiempo de desarrollo/mantenimiento humano de ninguna de las dos plataformas.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</si>
</sst>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$#,##0"/>
    <numFmt numFmtId="167" formatCode="\$#,##0.00"/>
    <numFmt numFmtId="168" formatCode="\$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333333"/>
      <name val="Arial"/>
      <family val="0"/>
      <charset val="1"/>
    </font>
    <font>
      <sz val="10"/>
      <name val="Arial"/>
      <family val="2"/>
    </font>
    <font>
      <sz val="11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8" min="6" style="1" width="16"/>
    <col collapsed="false" customWidth="true" hidden="false" outlineLevel="0" max="10" min="9" style="1" width="15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5" customFormat="false" ht="42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true" outlineLevel="0" collapsed="false">
      <c r="A6" s="5" t="s">
        <v>13</v>
      </c>
      <c r="B6" s="6" t="n">
        <v>300</v>
      </c>
      <c r="C6" s="7" t="n">
        <v>20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1</v>
      </c>
      <c r="I6" s="8" t="n">
        <f aca="false">SUM(C6:H6)</f>
        <v>21</v>
      </c>
      <c r="J6" s="8" t="n">
        <f aca="false">I6*12</f>
        <v>252</v>
      </c>
    </row>
    <row r="7" customFormat="false" ht="15" hidden="false" customHeight="true" outlineLevel="0" collapsed="false">
      <c r="A7" s="5" t="s">
        <v>14</v>
      </c>
      <c r="B7" s="6" t="n">
        <v>3000</v>
      </c>
      <c r="C7" s="7" t="n">
        <v>20</v>
      </c>
      <c r="D7" s="7" t="n">
        <v>0</v>
      </c>
      <c r="E7" s="7" t="n">
        <v>25</v>
      </c>
      <c r="F7" s="7" t="n">
        <v>0</v>
      </c>
      <c r="G7" s="7" t="n">
        <v>0</v>
      </c>
      <c r="H7" s="7" t="n">
        <v>1</v>
      </c>
      <c r="I7" s="8" t="n">
        <f aca="false">SUM(C7:H7)</f>
        <v>46</v>
      </c>
      <c r="J7" s="8" t="n">
        <f aca="false">I7*12</f>
        <v>552</v>
      </c>
    </row>
    <row r="8" customFormat="false" ht="15" hidden="false" customHeight="true" outlineLevel="0" collapsed="false">
      <c r="A8" s="5" t="s">
        <v>15</v>
      </c>
      <c r="B8" s="6" t="n">
        <v>20000</v>
      </c>
      <c r="C8" s="7" t="n">
        <v>20</v>
      </c>
      <c r="D8" s="7" t="n">
        <v>40</v>
      </c>
      <c r="E8" s="7" t="n">
        <v>25</v>
      </c>
      <c r="F8" s="7" t="n">
        <v>15</v>
      </c>
      <c r="G8" s="7" t="n">
        <v>15</v>
      </c>
      <c r="H8" s="7" t="n">
        <v>1</v>
      </c>
      <c r="I8" s="8" t="n">
        <f aca="false">SUM(C8:H8)</f>
        <v>116</v>
      </c>
      <c r="J8" s="8" t="n">
        <f aca="false">I8*12</f>
        <v>1392</v>
      </c>
    </row>
    <row r="9" customFormat="false" ht="15" hidden="false" customHeight="true" outlineLevel="0" collapsed="false">
      <c r="A9" s="5" t="s">
        <v>16</v>
      </c>
      <c r="B9" s="6" t="n">
        <v>80000</v>
      </c>
      <c r="C9" s="7" t="n">
        <v>20</v>
      </c>
      <c r="D9" s="7" t="n">
        <v>180</v>
      </c>
      <c r="E9" s="7" t="n">
        <v>25</v>
      </c>
      <c r="F9" s="7" t="n">
        <v>60</v>
      </c>
      <c r="G9" s="7" t="n">
        <v>60</v>
      </c>
      <c r="H9" s="7" t="n">
        <v>1</v>
      </c>
      <c r="I9" s="8" t="n">
        <f aca="false">SUM(C9:H9)</f>
        <v>346</v>
      </c>
      <c r="J9" s="8" t="n">
        <f aca="false">I9*12</f>
        <v>4152</v>
      </c>
    </row>
    <row r="11" customFormat="false" ht="15" hidden="false" customHeight="true" outlineLevel="0" collapsed="false">
      <c r="A11" s="9" t="s">
        <v>17</v>
      </c>
    </row>
    <row r="12" customFormat="false" ht="15" hidden="false" customHeight="true" outlineLevel="0" collapsed="false">
      <c r="A12" s="10" t="s">
        <v>18</v>
      </c>
      <c r="B12" s="10"/>
      <c r="C12" s="10"/>
      <c r="D12" s="10"/>
      <c r="E12" s="10"/>
      <c r="F12" s="10"/>
      <c r="G12" s="10"/>
      <c r="H12" s="10"/>
      <c r="I12" s="10"/>
      <c r="J12" s="10"/>
    </row>
    <row r="13" customFormat="false" ht="15" hidden="false" customHeight="true" outlineLevel="0" collapsed="false">
      <c r="A13" s="10" t="s">
        <v>19</v>
      </c>
      <c r="B13" s="10"/>
      <c r="C13" s="10"/>
      <c r="D13" s="10"/>
      <c r="E13" s="10"/>
      <c r="F13" s="10"/>
      <c r="G13" s="10"/>
      <c r="H13" s="10"/>
      <c r="I13" s="10"/>
      <c r="J13" s="10"/>
    </row>
    <row r="14" customFormat="false" ht="15" hidden="false" customHeight="true" outlineLevel="0" collapsed="false">
      <c r="A14" s="10" t="s">
        <v>20</v>
      </c>
      <c r="B14" s="10"/>
      <c r="C14" s="10"/>
      <c r="D14" s="10"/>
      <c r="E14" s="10"/>
      <c r="F14" s="10"/>
      <c r="G14" s="10"/>
      <c r="H14" s="10"/>
      <c r="I14" s="10"/>
      <c r="J14" s="10"/>
    </row>
    <row r="15" customFormat="false" ht="15" hidden="false" customHeight="true" outlineLevel="0" collapsed="false">
      <c r="A15" s="10" t="s">
        <v>21</v>
      </c>
      <c r="B15" s="10"/>
      <c r="C15" s="10"/>
      <c r="D15" s="10"/>
      <c r="E15" s="10"/>
      <c r="F15" s="10"/>
      <c r="G15" s="10"/>
      <c r="H15" s="10"/>
      <c r="I15" s="10"/>
      <c r="J15" s="10"/>
    </row>
    <row r="16" customFormat="false" ht="15" hidden="false" customHeight="true" outlineLevel="0" collapsed="false">
      <c r="A16" s="10" t="s">
        <v>22</v>
      </c>
      <c r="B16" s="10"/>
      <c r="C16" s="10"/>
      <c r="D16" s="10"/>
      <c r="E16" s="10"/>
      <c r="F16" s="10"/>
      <c r="G16" s="10"/>
      <c r="H16" s="10"/>
      <c r="I16" s="10"/>
      <c r="J16" s="10"/>
    </row>
    <row r="17" customFormat="false" ht="15" hidden="false" customHeight="true" outlineLevel="0" collapsed="false">
      <c r="A17" s="10" t="s">
        <v>23</v>
      </c>
      <c r="B17" s="10"/>
      <c r="C17" s="10"/>
      <c r="D17" s="10"/>
      <c r="E17" s="10"/>
      <c r="F17" s="10"/>
      <c r="G17" s="10"/>
      <c r="H17" s="10"/>
      <c r="I17" s="10"/>
      <c r="J17" s="10"/>
    </row>
    <row r="18" customFormat="false" ht="15" hidden="false" customHeight="true" outlineLevel="0" collapsed="false">
      <c r="A18" s="10" t="s">
        <v>24</v>
      </c>
      <c r="B18" s="10"/>
      <c r="C18" s="10"/>
      <c r="D18" s="10"/>
      <c r="E18" s="10"/>
      <c r="F18" s="10"/>
      <c r="G18" s="10"/>
      <c r="H18" s="10"/>
      <c r="I18" s="10"/>
      <c r="J18" s="10"/>
    </row>
  </sheetData>
  <mergeCells count="7">
    <mergeCell ref="A12:J12"/>
    <mergeCell ref="A13:J13"/>
    <mergeCell ref="A14:J14"/>
    <mergeCell ref="A15:J15"/>
    <mergeCell ref="A16:J16"/>
    <mergeCell ref="A17:J17"/>
    <mergeCell ref="A18:J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20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5"/>
  </cols>
  <sheetData>
    <row r="1" customFormat="false" ht="17.35" hidden="false" customHeight="false" outlineLevel="0" collapsed="false">
      <c r="A1" s="11" t="s">
        <v>25</v>
      </c>
    </row>
    <row r="2" customFormat="false" ht="15" hidden="false" customHeight="false" outlineLevel="0" collapsed="false">
      <c r="A2" s="12" t="s">
        <v>26</v>
      </c>
      <c r="B2" s="12"/>
      <c r="C2" s="12"/>
      <c r="D2" s="12"/>
      <c r="E2" s="12"/>
      <c r="F2" s="12"/>
      <c r="G2" s="12"/>
      <c r="H2" s="12"/>
      <c r="I2" s="12"/>
      <c r="J2" s="12"/>
    </row>
    <row r="3" customFormat="false" ht="15" hidden="false" customHeight="false" outlineLevel="0" collapsed="false">
      <c r="A3" s="13" t="s">
        <v>27</v>
      </c>
    </row>
    <row r="5" customFormat="false" ht="42" hidden="false" customHeight="true" outlineLevel="0" collapsed="false">
      <c r="A5" s="4" t="s">
        <v>3</v>
      </c>
      <c r="B5" s="4" t="s">
        <v>28</v>
      </c>
      <c r="C5" s="4" t="s">
        <v>29</v>
      </c>
      <c r="D5" s="4" t="s">
        <v>30</v>
      </c>
      <c r="E5" s="4" t="s">
        <v>31</v>
      </c>
      <c r="F5" s="4" t="s">
        <v>32</v>
      </c>
      <c r="G5" s="4" t="s">
        <v>11</v>
      </c>
      <c r="H5" s="4" t="s">
        <v>12</v>
      </c>
    </row>
    <row r="6" customFormat="false" ht="15" hidden="false" customHeight="false" outlineLevel="0" collapsed="false">
      <c r="A6" s="14" t="s">
        <v>13</v>
      </c>
      <c r="B6" s="15" t="n">
        <f aca="false">99/12</f>
        <v>8.25</v>
      </c>
      <c r="C6" s="15" t="n">
        <f aca="false">25/12</f>
        <v>2.08333333333333</v>
      </c>
      <c r="D6" s="16" t="n">
        <v>0</v>
      </c>
      <c r="E6" s="16" t="n">
        <v>0</v>
      </c>
      <c r="F6" s="16" t="n">
        <v>0</v>
      </c>
      <c r="G6" s="17" t="n">
        <f aca="false">SUM(B6:F6)</f>
        <v>10.3333333333333</v>
      </c>
      <c r="H6" s="18" t="n">
        <f aca="false">G6*12</f>
        <v>124</v>
      </c>
    </row>
    <row r="7" customFormat="false" ht="15" hidden="false" customHeight="false" outlineLevel="0" collapsed="false">
      <c r="A7" s="14" t="s">
        <v>14</v>
      </c>
      <c r="B7" s="15" t="n">
        <f aca="false">99/12</f>
        <v>8.25</v>
      </c>
      <c r="C7" s="15" t="n">
        <v>0</v>
      </c>
      <c r="D7" s="16" t="n">
        <v>0</v>
      </c>
      <c r="E7" s="16" t="n">
        <v>0</v>
      </c>
      <c r="F7" s="16" t="n">
        <v>0</v>
      </c>
      <c r="G7" s="17" t="n">
        <f aca="false">SUM(B7:F7)</f>
        <v>8.25</v>
      </c>
      <c r="H7" s="18" t="n">
        <f aca="false">G7*12</f>
        <v>99</v>
      </c>
    </row>
    <row r="8" customFormat="false" ht="15" hidden="false" customHeight="false" outlineLevel="0" collapsed="false">
      <c r="A8" s="14" t="s">
        <v>15</v>
      </c>
      <c r="B8" s="15" t="n">
        <f aca="false">99/12</f>
        <v>8.25</v>
      </c>
      <c r="C8" s="15" t="n">
        <v>0</v>
      </c>
      <c r="D8" s="16" t="n">
        <v>19</v>
      </c>
      <c r="E8" s="16" t="n">
        <v>26</v>
      </c>
      <c r="F8" s="16" t="n">
        <v>0</v>
      </c>
      <c r="G8" s="17" t="n">
        <f aca="false">SUM(B8:F8)</f>
        <v>53.25</v>
      </c>
      <c r="H8" s="18" t="n">
        <f aca="false">G8*12</f>
        <v>639</v>
      </c>
    </row>
    <row r="9" customFormat="false" ht="15" hidden="false" customHeight="false" outlineLevel="0" collapsed="false">
      <c r="A9" s="14" t="s">
        <v>16</v>
      </c>
      <c r="B9" s="15" t="n">
        <f aca="false">99/12</f>
        <v>8.25</v>
      </c>
      <c r="C9" s="15" t="n">
        <v>0</v>
      </c>
      <c r="D9" s="16" t="n">
        <v>199</v>
      </c>
      <c r="E9" s="16" t="n">
        <v>80</v>
      </c>
      <c r="F9" s="16" t="n">
        <v>0</v>
      </c>
      <c r="G9" s="17" t="n">
        <f aca="false">SUM(B9:F9)</f>
        <v>287.25</v>
      </c>
      <c r="H9" s="18" t="n">
        <f aca="false">G9*12</f>
        <v>3447</v>
      </c>
    </row>
    <row r="11" customFormat="false" ht="15" hidden="false" customHeight="false" outlineLevel="0" collapsed="false">
      <c r="A11" s="19" t="s">
        <v>17</v>
      </c>
    </row>
    <row r="12" customFormat="false" ht="15" hidden="false" customHeight="false" outlineLevel="0" collapsed="false">
      <c r="A12" s="20" t="s">
        <v>33</v>
      </c>
      <c r="B12" s="20"/>
      <c r="C12" s="20"/>
      <c r="D12" s="20"/>
      <c r="E12" s="20"/>
      <c r="F12" s="20"/>
      <c r="G12" s="20"/>
      <c r="H12" s="20"/>
    </row>
    <row r="13" customFormat="false" ht="15" hidden="false" customHeight="false" outlineLevel="0" collapsed="false">
      <c r="A13" s="20" t="s">
        <v>34</v>
      </c>
      <c r="B13" s="20"/>
      <c r="C13" s="20"/>
      <c r="D13" s="20"/>
      <c r="E13" s="20"/>
      <c r="F13" s="20"/>
      <c r="G13" s="20"/>
      <c r="H13" s="20"/>
    </row>
    <row r="14" customFormat="false" ht="15" hidden="false" customHeight="false" outlineLevel="0" collapsed="false">
      <c r="A14" s="20" t="s">
        <v>35</v>
      </c>
      <c r="B14" s="20"/>
      <c r="C14" s="20"/>
      <c r="D14" s="20"/>
      <c r="E14" s="20"/>
      <c r="F14" s="20"/>
      <c r="G14" s="20"/>
      <c r="H14" s="20"/>
    </row>
    <row r="15" customFormat="false" ht="15" hidden="false" customHeight="false" outlineLevel="0" collapsed="false">
      <c r="A15" s="20" t="s">
        <v>36</v>
      </c>
      <c r="B15" s="20"/>
      <c r="C15" s="20"/>
      <c r="D15" s="20"/>
      <c r="E15" s="20"/>
      <c r="F15" s="20"/>
      <c r="G15" s="20"/>
      <c r="H15" s="20"/>
    </row>
    <row r="16" customFormat="false" ht="15" hidden="false" customHeight="false" outlineLevel="0" collapsed="false">
      <c r="A16" s="20" t="s">
        <v>37</v>
      </c>
      <c r="B16" s="20"/>
      <c r="C16" s="20"/>
      <c r="D16" s="20"/>
      <c r="E16" s="20"/>
      <c r="F16" s="20"/>
      <c r="G16" s="20"/>
      <c r="H16" s="20"/>
    </row>
    <row r="17" customFormat="false" ht="15" hidden="false" customHeight="false" outlineLevel="0" collapsed="false">
      <c r="A17" s="20" t="s">
        <v>38</v>
      </c>
      <c r="B17" s="20"/>
      <c r="C17" s="20"/>
      <c r="D17" s="20"/>
      <c r="E17" s="20"/>
      <c r="F17" s="20"/>
      <c r="G17" s="20"/>
      <c r="H17" s="20"/>
    </row>
    <row r="18" customFormat="false" ht="15" hidden="false" customHeight="false" outlineLevel="0" collapsed="false">
      <c r="A18" s="20" t="s">
        <v>39</v>
      </c>
      <c r="B18" s="20"/>
      <c r="C18" s="20"/>
      <c r="D18" s="20"/>
      <c r="E18" s="20"/>
      <c r="F18" s="20"/>
      <c r="G18" s="20"/>
      <c r="H18" s="20"/>
    </row>
  </sheetData>
  <mergeCells count="8">
    <mergeCell ref="A2:J2"/>
    <mergeCell ref="A12:H12"/>
    <mergeCell ref="A13:H13"/>
    <mergeCell ref="A14:H14"/>
    <mergeCell ref="A15:H15"/>
    <mergeCell ref="A16:H16"/>
    <mergeCell ref="A17:H17"/>
    <mergeCell ref="A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11" t="s">
        <v>40</v>
      </c>
    </row>
    <row r="2" customFormat="false" ht="15" hidden="false" customHeight="false" outlineLevel="0" collapsed="false">
      <c r="A2" s="12" t="s">
        <v>41</v>
      </c>
      <c r="B2" s="12"/>
      <c r="C2" s="12"/>
      <c r="D2" s="12"/>
      <c r="E2" s="12"/>
    </row>
    <row r="4" customFormat="false" ht="42" hidden="false" customHeight="true" outlineLevel="0" collapsed="false">
      <c r="A4" s="4" t="s">
        <v>3</v>
      </c>
      <c r="B4" s="4" t="s">
        <v>42</v>
      </c>
      <c r="C4" s="4" t="s">
        <v>43</v>
      </c>
      <c r="D4" s="4" t="s">
        <v>44</v>
      </c>
      <c r="E4" s="4" t="s">
        <v>45</v>
      </c>
    </row>
    <row r="5" customFormat="false" ht="15" hidden="false" customHeight="false" outlineLevel="0" collapsed="false">
      <c r="A5" s="14" t="s">
        <v>13</v>
      </c>
      <c r="B5" s="21" t="n">
        <f aca="false">'Flujo Hosting'!I6</f>
        <v>21</v>
      </c>
      <c r="C5" s="21" t="n">
        <f aca="false">'Apps Moviles'!G6</f>
        <v>10.3333333333333</v>
      </c>
      <c r="D5" s="17" t="n">
        <f aca="false">B5+C5</f>
        <v>31.3333333333333</v>
      </c>
      <c r="E5" s="18" t="n">
        <f aca="false">D5*12</f>
        <v>376</v>
      </c>
    </row>
    <row r="6" customFormat="false" ht="15" hidden="false" customHeight="false" outlineLevel="0" collapsed="false">
      <c r="A6" s="14" t="s">
        <v>14</v>
      </c>
      <c r="B6" s="21" t="n">
        <f aca="false">'Flujo Hosting'!I7</f>
        <v>46</v>
      </c>
      <c r="C6" s="21" t="n">
        <f aca="false">'Apps Moviles'!G7</f>
        <v>8.25</v>
      </c>
      <c r="D6" s="17" t="n">
        <f aca="false">B6+C6</f>
        <v>54.25</v>
      </c>
      <c r="E6" s="18" t="n">
        <f aca="false">D6*12</f>
        <v>651</v>
      </c>
    </row>
    <row r="7" customFormat="false" ht="15" hidden="false" customHeight="false" outlineLevel="0" collapsed="false">
      <c r="A7" s="14" t="s">
        <v>15</v>
      </c>
      <c r="B7" s="21" t="n">
        <f aca="false">'Flujo Hosting'!I8</f>
        <v>116</v>
      </c>
      <c r="C7" s="21" t="n">
        <f aca="false">'Apps Moviles'!G8</f>
        <v>53.25</v>
      </c>
      <c r="D7" s="17" t="n">
        <f aca="false">B7+C7</f>
        <v>169.25</v>
      </c>
      <c r="E7" s="18" t="n">
        <f aca="false">D7*12</f>
        <v>2031</v>
      </c>
    </row>
    <row r="8" customFormat="false" ht="15" hidden="false" customHeight="false" outlineLevel="0" collapsed="false">
      <c r="A8" s="14" t="s">
        <v>16</v>
      </c>
      <c r="B8" s="21" t="n">
        <f aca="false">'Flujo Hosting'!I9</f>
        <v>346</v>
      </c>
      <c r="C8" s="21" t="n">
        <f aca="false">'Apps Moviles'!G9</f>
        <v>287.25</v>
      </c>
      <c r="D8" s="17" t="n">
        <f aca="false">B8+C8</f>
        <v>633.25</v>
      </c>
      <c r="E8" s="18" t="n">
        <f aca="false">D8*12</f>
        <v>7599</v>
      </c>
    </row>
    <row r="10" customFormat="false" ht="15" hidden="false" customHeight="false" outlineLevel="0" collapsed="false">
      <c r="A10" s="12" t="s">
        <v>46</v>
      </c>
      <c r="B10" s="12"/>
      <c r="C10" s="12"/>
      <c r="D10" s="12"/>
      <c r="E10" s="12"/>
    </row>
  </sheetData>
  <mergeCells count="2">
    <mergeCell ref="A2:E2"/>
    <mergeCell ref="A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2026-07-19T22:00:27Z</dcterms:created>
  <dc:creator>openpyxl</dc:creator>
  <dc:description/>
  <dc:language>en-US</dc:language>
  <cp:lastModifiedBy/>
  <dcterms:modified xsi:type="dcterms:W3CDTF">2026-07-21T17:00:15Z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